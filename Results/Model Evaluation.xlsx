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ashley_kennedy_pnnl_gov/Documents/Desktop/ESSD AI Competition/Model Part 2/"/>
    </mc:Choice>
  </mc:AlternateContent>
  <xr:revisionPtr revIDLastSave="349" documentId="11_F25DC773A252ABDACC1048A1695D5E3E5BDE58EC" xr6:coauthVersionLast="47" xr6:coauthVersionMax="47" xr10:uidLastSave="{F5BFD26E-FC25-40D9-B9B2-CD231CE97B69}"/>
  <bookViews>
    <workbookView xWindow="-110" yWindow="-110" windowWidth="19420" windowHeight="11500" activeTab="1" xr2:uid="{00000000-000D-0000-FFFF-FFFF00000000}"/>
  </bookViews>
  <sheets>
    <sheet name="ML" sheetId="1" r:id="rId1"/>
    <sheet name="LL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D24" i="2"/>
  <c r="C24" i="2"/>
  <c r="B24" i="2"/>
  <c r="D23" i="2"/>
  <c r="C23" i="2"/>
  <c r="B23" i="2"/>
  <c r="B25" i="2" s="1"/>
  <c r="M31" i="1"/>
  <c r="H31" i="1"/>
  <c r="C31" i="1"/>
  <c r="N25" i="1"/>
  <c r="M25" i="1"/>
  <c r="L25" i="1"/>
  <c r="L27" i="1" s="1"/>
  <c r="I27" i="1"/>
  <c r="H27" i="1"/>
  <c r="C27" i="1"/>
  <c r="B27" i="1"/>
  <c r="N26" i="1"/>
  <c r="M26" i="1"/>
  <c r="L26" i="1"/>
  <c r="N27" i="1"/>
  <c r="M27" i="1"/>
  <c r="I26" i="1"/>
  <c r="H26" i="1"/>
  <c r="G26" i="1"/>
  <c r="I25" i="1"/>
  <c r="H25" i="1"/>
  <c r="G25" i="1"/>
  <c r="G27" i="1" s="1"/>
  <c r="D26" i="1"/>
  <c r="D25" i="1"/>
  <c r="D27" i="1" s="1"/>
  <c r="C26" i="1"/>
  <c r="C25" i="1"/>
  <c r="B26" i="1"/>
  <c r="B25" i="1"/>
  <c r="C25" i="2" l="1"/>
  <c r="D25" i="2"/>
</calcChain>
</file>

<file path=xl/sharedStrings.xml><?xml version="1.0" encoding="utf-8"?>
<sst xmlns="http://schemas.openxmlformats.org/spreadsheetml/2006/main" count="137" uniqueCount="38">
  <si>
    <t>Date</t>
  </si>
  <si>
    <t>Union Gap UD</t>
  </si>
  <si>
    <t>Mabton UD</t>
  </si>
  <si>
    <t>Kiona UD</t>
  </si>
  <si>
    <t>Union Gap GH</t>
  </si>
  <si>
    <t>Mabton GH</t>
  </si>
  <si>
    <t>Kiona GH</t>
  </si>
  <si>
    <t>Random Forest</t>
  </si>
  <si>
    <t>Test #</t>
  </si>
  <si>
    <t>Time</t>
  </si>
  <si>
    <t>ACTUAL VALUES FROM USGS</t>
  </si>
  <si>
    <t>PREDICTED VALUES FROM MODEL 1</t>
  </si>
  <si>
    <t>Model #</t>
  </si>
  <si>
    <t>ML</t>
  </si>
  <si>
    <t>Mabton Flooding</t>
  </si>
  <si>
    <t>Kiona Flooding</t>
  </si>
  <si>
    <t>No</t>
  </si>
  <si>
    <t>PREDICTED VALUES FROM MODEL 2</t>
  </si>
  <si>
    <t>PREDICTED VALUES FROM MODEL 3</t>
  </si>
  <si>
    <t>Flooding Prediction?</t>
  </si>
  <si>
    <t>Correct</t>
  </si>
  <si>
    <t>Model 1 Evaluation</t>
  </si>
  <si>
    <t>Model 2 Evaluation</t>
  </si>
  <si>
    <t>Model 3 Evaluation</t>
  </si>
  <si>
    <t>Evaluation metrics:</t>
  </si>
  <si>
    <r>
      <t xml:space="preserve">Model must correctly predict gage height within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0.5 ft</t>
    </r>
  </si>
  <si>
    <t>Model must correctly predict flooding</t>
  </si>
  <si>
    <t>1 (avg)</t>
  </si>
  <si>
    <t>2 (high)</t>
  </si>
  <si>
    <t>3 (low)</t>
  </si>
  <si>
    <t>Consistency?</t>
  </si>
  <si>
    <t>Scikit‑learn Gradient Boost</t>
  </si>
  <si>
    <t>XGBoost</t>
  </si>
  <si>
    <t>Mabton RSME</t>
  </si>
  <si>
    <t>Kiona RSME</t>
  </si>
  <si>
    <t>Maybe</t>
  </si>
  <si>
    <t>ChatGPT</t>
  </si>
  <si>
    <t>https://chatgpt.com/share/69ea88b4-e484-83e8-82ae-0116e400f183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</si>
</sst>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18" fontId="0" fillId="0" borderId="1" xfId="0" applyNumberFormat="1" applyBorder="1"/>
    <xf numFmtId="0" fontId="1" fillId="0" borderId="1" xfId="0" applyFont="1" applyFill="1" applyBorder="1"/>
    <xf numFmtId="0" fontId="1" fillId="0" borderId="0" xfId="0" applyFont="1" applyFill="1" applyBorder="1"/>
    <xf numFmtId="0" fontId="0" fillId="0" borderId="0" xfId="0" applyBorder="1"/>
    <xf numFmtId="0" fontId="0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opLeftCell="A7" zoomScale="80" zoomScaleNormal="80" workbookViewId="0">
      <selection activeCell="A12" sqref="A12:D12"/>
    </sheetView>
  </sheetViews>
  <sheetFormatPr defaultRowHeight="15" x14ac:dyDescent="0.25"/>
  <cols>
    <col min="1" max="1" width="19.5703125" bestFit="1" customWidth="1"/>
    <col min="2" max="2" width="10" customWidth="1"/>
    <col min="3" max="4" width="9.140625" bestFit="1" customWidth="1"/>
    <col min="5" max="5" width="9" bestFit="1" customWidth="1"/>
    <col min="6" max="6" width="19.5703125" bestFit="1" customWidth="1"/>
    <col min="7" max="7" width="10" bestFit="1" customWidth="1"/>
    <col min="8" max="9" width="9.140625" bestFit="1" customWidth="1"/>
    <col min="11" max="11" width="19.5703125" customWidth="1"/>
    <col min="12" max="12" width="10" bestFit="1" customWidth="1"/>
    <col min="13" max="14" width="9.140625" bestFit="1" customWidth="1"/>
  </cols>
  <sheetData>
    <row r="1" spans="1:14" x14ac:dyDescent="0.25">
      <c r="A1" s="1" t="s">
        <v>10</v>
      </c>
      <c r="B1" s="1"/>
      <c r="C1" s="1"/>
      <c r="D1" s="1"/>
      <c r="F1" s="3" t="s">
        <v>12</v>
      </c>
      <c r="G1" s="12" t="s">
        <v>13</v>
      </c>
      <c r="H1" s="12"/>
      <c r="I1" s="12"/>
      <c r="K1" t="s">
        <v>24</v>
      </c>
    </row>
    <row r="2" spans="1:14" x14ac:dyDescent="0.25">
      <c r="A2" s="3" t="s">
        <v>8</v>
      </c>
      <c r="B2" s="3" t="s">
        <v>27</v>
      </c>
      <c r="C2" s="3" t="s">
        <v>28</v>
      </c>
      <c r="D2" s="3" t="s">
        <v>29</v>
      </c>
      <c r="F2" s="2">
        <v>1</v>
      </c>
      <c r="G2" s="10" t="s">
        <v>7</v>
      </c>
      <c r="H2" s="10"/>
      <c r="I2" s="10"/>
      <c r="K2" t="s">
        <v>25</v>
      </c>
    </row>
    <row r="3" spans="1:14" x14ac:dyDescent="0.25">
      <c r="A3" s="3" t="s">
        <v>0</v>
      </c>
      <c r="B3" s="4">
        <v>46037</v>
      </c>
      <c r="C3" s="4">
        <v>45324</v>
      </c>
      <c r="D3" s="4">
        <v>45505</v>
      </c>
      <c r="F3" s="2">
        <v>2</v>
      </c>
      <c r="G3" s="10" t="s">
        <v>31</v>
      </c>
      <c r="H3" s="10"/>
      <c r="I3" s="10"/>
      <c r="K3" t="s">
        <v>26</v>
      </c>
    </row>
    <row r="4" spans="1:14" x14ac:dyDescent="0.25">
      <c r="A4" s="3" t="s">
        <v>9</v>
      </c>
      <c r="B4" s="5">
        <v>0.47916666666666669</v>
      </c>
      <c r="C4" s="5">
        <v>0.65625</v>
      </c>
      <c r="D4" s="5">
        <v>0.625</v>
      </c>
      <c r="F4" s="2">
        <v>3</v>
      </c>
      <c r="G4" s="10" t="s">
        <v>32</v>
      </c>
      <c r="H4" s="10"/>
      <c r="I4" s="10"/>
    </row>
    <row r="5" spans="1:14" x14ac:dyDescent="0.25">
      <c r="A5" s="3" t="s">
        <v>1</v>
      </c>
      <c r="B5" s="2">
        <v>5040</v>
      </c>
      <c r="C5" s="2">
        <v>7330</v>
      </c>
      <c r="D5" s="2">
        <v>2700</v>
      </c>
    </row>
    <row r="6" spans="1:14" x14ac:dyDescent="0.25">
      <c r="A6" s="3" t="s">
        <v>2</v>
      </c>
      <c r="B6" s="2">
        <v>7530</v>
      </c>
      <c r="C6" s="2">
        <v>9650</v>
      </c>
      <c r="D6" s="2">
        <v>712</v>
      </c>
    </row>
    <row r="7" spans="1:14" x14ac:dyDescent="0.25">
      <c r="A7" s="3" t="s">
        <v>3</v>
      </c>
      <c r="B7" s="2">
        <v>6240</v>
      </c>
      <c r="C7" s="2">
        <v>10000</v>
      </c>
      <c r="D7" s="2">
        <v>926</v>
      </c>
    </row>
    <row r="8" spans="1:14" x14ac:dyDescent="0.25">
      <c r="A8" s="3" t="s">
        <v>4</v>
      </c>
      <c r="B8" s="2">
        <v>42.33</v>
      </c>
      <c r="C8" s="2">
        <v>43.13</v>
      </c>
      <c r="D8" s="2">
        <v>41.22</v>
      </c>
    </row>
    <row r="9" spans="1:14" x14ac:dyDescent="0.25">
      <c r="A9" s="3" t="s">
        <v>5</v>
      </c>
      <c r="B9" s="2">
        <v>14.4</v>
      </c>
      <c r="C9" s="2">
        <v>15.41</v>
      </c>
      <c r="D9" s="2">
        <v>11.26</v>
      </c>
    </row>
    <row r="10" spans="1:14" x14ac:dyDescent="0.25">
      <c r="A10" s="3" t="s">
        <v>6</v>
      </c>
      <c r="B10" s="2">
        <v>6.96</v>
      </c>
      <c r="C10" s="2">
        <v>8.92</v>
      </c>
      <c r="D10" s="2">
        <v>4.3099999999999996</v>
      </c>
    </row>
    <row r="12" spans="1:14" x14ac:dyDescent="0.25">
      <c r="A12" s="13" t="s">
        <v>7</v>
      </c>
      <c r="B12" s="13"/>
      <c r="C12" s="13"/>
      <c r="D12" s="13"/>
      <c r="F12" s="13" t="s">
        <v>31</v>
      </c>
      <c r="G12" s="13"/>
      <c r="H12" s="13"/>
      <c r="I12" s="13"/>
      <c r="K12" s="13" t="s">
        <v>32</v>
      </c>
      <c r="L12" s="13"/>
      <c r="M12" s="13"/>
      <c r="N12" s="13"/>
    </row>
    <row r="13" spans="1:14" x14ac:dyDescent="0.25">
      <c r="A13" s="1" t="s">
        <v>11</v>
      </c>
      <c r="B13" s="1"/>
      <c r="C13" s="1"/>
      <c r="D13" s="1"/>
      <c r="F13" s="1" t="s">
        <v>17</v>
      </c>
      <c r="G13" s="1"/>
      <c r="H13" s="1"/>
      <c r="I13" s="1"/>
      <c r="K13" s="1" t="s">
        <v>18</v>
      </c>
      <c r="L13" s="1"/>
      <c r="M13" s="1"/>
      <c r="N13" s="1"/>
    </row>
    <row r="14" spans="1:14" x14ac:dyDescent="0.25">
      <c r="A14" s="3" t="s">
        <v>8</v>
      </c>
      <c r="B14" s="3">
        <v>1</v>
      </c>
      <c r="C14" s="3">
        <v>2</v>
      </c>
      <c r="D14" s="3">
        <v>3</v>
      </c>
      <c r="F14" s="3" t="s">
        <v>8</v>
      </c>
      <c r="G14" s="3">
        <v>1</v>
      </c>
      <c r="H14" s="3">
        <v>2</v>
      </c>
      <c r="I14" s="3">
        <v>3</v>
      </c>
      <c r="K14" s="3" t="s">
        <v>8</v>
      </c>
      <c r="L14" s="3">
        <v>1</v>
      </c>
      <c r="M14" s="3">
        <v>2</v>
      </c>
      <c r="N14" s="3">
        <v>3</v>
      </c>
    </row>
    <row r="15" spans="1:14" x14ac:dyDescent="0.25">
      <c r="A15" s="3" t="s">
        <v>0</v>
      </c>
      <c r="B15" s="4">
        <v>46037</v>
      </c>
      <c r="C15" s="4">
        <v>45324</v>
      </c>
      <c r="D15" s="4">
        <v>45505</v>
      </c>
      <c r="F15" s="3" t="s">
        <v>0</v>
      </c>
      <c r="G15" s="4">
        <v>46037</v>
      </c>
      <c r="H15" s="4">
        <v>45324</v>
      </c>
      <c r="I15" s="4">
        <v>45505</v>
      </c>
      <c r="K15" s="3" t="s">
        <v>0</v>
      </c>
      <c r="L15" s="4">
        <v>46037</v>
      </c>
      <c r="M15" s="4">
        <v>45324</v>
      </c>
      <c r="N15" s="4">
        <v>45505</v>
      </c>
    </row>
    <row r="16" spans="1:14" x14ac:dyDescent="0.25">
      <c r="A16" s="3" t="s">
        <v>9</v>
      </c>
      <c r="B16" s="5">
        <v>0.47916666666666669</v>
      </c>
      <c r="C16" s="5">
        <v>0.65625</v>
      </c>
      <c r="D16" s="5">
        <v>0.625</v>
      </c>
      <c r="F16" s="3" t="s">
        <v>9</v>
      </c>
      <c r="G16" s="5">
        <v>0.47916666666666669</v>
      </c>
      <c r="H16" s="5">
        <v>0.65625</v>
      </c>
      <c r="I16" s="5">
        <v>0.625</v>
      </c>
      <c r="K16" s="3" t="s">
        <v>9</v>
      </c>
      <c r="L16" s="5">
        <v>0.47916666666666669</v>
      </c>
      <c r="M16" s="5">
        <v>0.65625</v>
      </c>
      <c r="N16" s="5">
        <v>0.625</v>
      </c>
    </row>
    <row r="17" spans="1:14" x14ac:dyDescent="0.25">
      <c r="A17" s="3" t="s">
        <v>5</v>
      </c>
      <c r="B17" s="2">
        <v>13.99</v>
      </c>
      <c r="C17" s="2">
        <v>14.15</v>
      </c>
      <c r="D17" s="2">
        <v>13.86</v>
      </c>
      <c r="F17" s="3" t="s">
        <v>5</v>
      </c>
      <c r="G17" s="2">
        <v>13.93</v>
      </c>
      <c r="H17" s="2">
        <v>13.94</v>
      </c>
      <c r="I17" s="2">
        <v>13.93</v>
      </c>
      <c r="K17" s="3" t="s">
        <v>5</v>
      </c>
      <c r="L17" s="2">
        <v>13.92</v>
      </c>
      <c r="M17" s="2">
        <v>14.12</v>
      </c>
      <c r="N17" s="2">
        <v>13.93</v>
      </c>
    </row>
    <row r="18" spans="1:14" x14ac:dyDescent="0.25">
      <c r="A18" s="3" t="s">
        <v>6</v>
      </c>
      <c r="B18" s="2">
        <v>6.57</v>
      </c>
      <c r="C18" s="2">
        <v>6.58</v>
      </c>
      <c r="D18" s="2">
        <v>6.49</v>
      </c>
      <c r="F18" s="3" t="s">
        <v>6</v>
      </c>
      <c r="G18" s="2">
        <v>6.53</v>
      </c>
      <c r="H18" s="2">
        <v>6.56</v>
      </c>
      <c r="I18" s="2">
        <v>6.53</v>
      </c>
      <c r="K18" s="3" t="s">
        <v>6</v>
      </c>
      <c r="L18" s="2">
        <v>6.54</v>
      </c>
      <c r="M18" s="2">
        <v>6.54</v>
      </c>
      <c r="N18" s="2">
        <v>6.52</v>
      </c>
    </row>
    <row r="19" spans="1:14" x14ac:dyDescent="0.25">
      <c r="A19" s="6" t="s">
        <v>14</v>
      </c>
      <c r="B19" s="2" t="s">
        <v>16</v>
      </c>
      <c r="C19" s="2" t="s">
        <v>16</v>
      </c>
      <c r="D19" s="2" t="s">
        <v>16</v>
      </c>
      <c r="F19" s="6" t="s">
        <v>14</v>
      </c>
      <c r="G19" s="2" t="s">
        <v>16</v>
      </c>
      <c r="H19" s="2" t="s">
        <v>16</v>
      </c>
      <c r="I19" s="2" t="s">
        <v>16</v>
      </c>
      <c r="K19" s="6" t="s">
        <v>14</v>
      </c>
      <c r="L19" s="2" t="s">
        <v>16</v>
      </c>
      <c r="M19" s="2" t="s">
        <v>16</v>
      </c>
      <c r="N19" s="2" t="s">
        <v>16</v>
      </c>
    </row>
    <row r="20" spans="1:14" x14ac:dyDescent="0.25">
      <c r="A20" s="6" t="s">
        <v>15</v>
      </c>
      <c r="B20" s="2" t="s">
        <v>16</v>
      </c>
      <c r="C20" s="2" t="s">
        <v>16</v>
      </c>
      <c r="D20" s="2" t="s">
        <v>16</v>
      </c>
      <c r="F20" s="6" t="s">
        <v>15</v>
      </c>
      <c r="G20" s="2" t="s">
        <v>16</v>
      </c>
      <c r="H20" s="2" t="s">
        <v>16</v>
      </c>
      <c r="I20" s="2" t="s">
        <v>16</v>
      </c>
      <c r="K20" s="6" t="s">
        <v>15</v>
      </c>
      <c r="L20" s="2" t="s">
        <v>16</v>
      </c>
      <c r="M20" s="2" t="s">
        <v>16</v>
      </c>
      <c r="N20" s="2" t="s">
        <v>16</v>
      </c>
    </row>
    <row r="21" spans="1:14" x14ac:dyDescent="0.25">
      <c r="A21" s="7"/>
      <c r="B21" s="8"/>
      <c r="C21" s="8"/>
      <c r="D21" s="8"/>
      <c r="F21" s="7"/>
      <c r="G21" s="8"/>
      <c r="H21" s="8"/>
      <c r="I21" s="8"/>
      <c r="K21" s="7"/>
      <c r="L21" s="8"/>
      <c r="M21" s="8"/>
      <c r="N21" s="8"/>
    </row>
    <row r="22" spans="1:14" x14ac:dyDescent="0.25">
      <c r="A22" s="9" t="s">
        <v>21</v>
      </c>
      <c r="B22" s="9"/>
      <c r="C22" s="9"/>
      <c r="D22" s="9"/>
      <c r="F22" s="9" t="s">
        <v>22</v>
      </c>
      <c r="G22" s="9"/>
      <c r="H22" s="9"/>
      <c r="I22" s="9"/>
      <c r="K22" s="9" t="s">
        <v>23</v>
      </c>
      <c r="L22" s="9"/>
      <c r="M22" s="9"/>
      <c r="N22" s="9"/>
    </row>
    <row r="23" spans="1:14" x14ac:dyDescent="0.25">
      <c r="A23" s="3" t="s">
        <v>8</v>
      </c>
      <c r="B23" s="3">
        <v>1</v>
      </c>
      <c r="C23" s="3">
        <v>2</v>
      </c>
      <c r="D23" s="3">
        <v>3</v>
      </c>
      <c r="F23" s="3" t="s">
        <v>8</v>
      </c>
      <c r="G23" s="3">
        <v>1</v>
      </c>
      <c r="H23" s="3">
        <v>2</v>
      </c>
      <c r="I23" s="3">
        <v>3</v>
      </c>
      <c r="K23" s="3" t="s">
        <v>8</v>
      </c>
      <c r="L23" s="3">
        <v>1</v>
      </c>
      <c r="M23" s="3">
        <v>2</v>
      </c>
      <c r="N23" s="3">
        <v>3</v>
      </c>
    </row>
    <row r="24" spans="1:14" x14ac:dyDescent="0.25">
      <c r="A24" s="6" t="s">
        <v>19</v>
      </c>
      <c r="B24" s="2" t="s">
        <v>20</v>
      </c>
      <c r="C24" s="2" t="s">
        <v>20</v>
      </c>
      <c r="D24" s="2" t="s">
        <v>20</v>
      </c>
      <c r="F24" s="6" t="s">
        <v>19</v>
      </c>
      <c r="G24" s="2" t="s">
        <v>20</v>
      </c>
      <c r="H24" s="2" t="s">
        <v>20</v>
      </c>
      <c r="I24" s="2" t="s">
        <v>20</v>
      </c>
      <c r="K24" s="6" t="s">
        <v>19</v>
      </c>
      <c r="L24" s="2" t="s">
        <v>20</v>
      </c>
      <c r="M24" s="2" t="s">
        <v>20</v>
      </c>
      <c r="N24" s="2" t="s">
        <v>20</v>
      </c>
    </row>
    <row r="25" spans="1:14" x14ac:dyDescent="0.25">
      <c r="A25" s="3" t="s">
        <v>5</v>
      </c>
      <c r="B25" s="2">
        <f>ABS(B17-$B$9)</f>
        <v>0.41000000000000014</v>
      </c>
      <c r="C25" s="2">
        <f>ABS(C17-$C$9)</f>
        <v>1.2599999999999998</v>
      </c>
      <c r="D25" s="2">
        <f>ABS(D17-$D$9)</f>
        <v>2.5999999999999996</v>
      </c>
      <c r="F25" s="3" t="s">
        <v>5</v>
      </c>
      <c r="G25" s="2">
        <f>ABS(G17-$B$9)</f>
        <v>0.47000000000000064</v>
      </c>
      <c r="H25" s="2">
        <f>ABS(H17-$C$9)</f>
        <v>1.4700000000000006</v>
      </c>
      <c r="I25" s="2">
        <f>ABS(I17-$D$9)</f>
        <v>2.67</v>
      </c>
      <c r="K25" s="3" t="s">
        <v>5</v>
      </c>
      <c r="L25" s="2">
        <f>ABS(L17-$B$9)</f>
        <v>0.48000000000000043</v>
      </c>
      <c r="M25" s="2">
        <f>ABS(M17-$C$9)</f>
        <v>1.2900000000000009</v>
      </c>
      <c r="N25" s="2">
        <f>ABS(N17-$D$9)</f>
        <v>2.67</v>
      </c>
    </row>
    <row r="26" spans="1:14" x14ac:dyDescent="0.25">
      <c r="A26" s="3" t="s">
        <v>6</v>
      </c>
      <c r="B26" s="2">
        <f>ABS(B18-$B$10)</f>
        <v>0.38999999999999968</v>
      </c>
      <c r="C26" s="2">
        <f>ABS(C18-$C$10)</f>
        <v>2.34</v>
      </c>
      <c r="D26" s="2">
        <f>ABS(D18-$D$10)</f>
        <v>2.1800000000000006</v>
      </c>
      <c r="F26" s="3" t="s">
        <v>6</v>
      </c>
      <c r="G26" s="2">
        <f>ABS(G18-$B$10)</f>
        <v>0.42999999999999972</v>
      </c>
      <c r="H26" s="2">
        <f>ABS(H18-$C$10)</f>
        <v>2.3600000000000003</v>
      </c>
      <c r="I26" s="2">
        <f>ABS(I18-$D$10)</f>
        <v>2.2200000000000006</v>
      </c>
      <c r="K26" s="3" t="s">
        <v>6</v>
      </c>
      <c r="L26" s="2">
        <f>ABS(L18-$B$10)</f>
        <v>0.41999999999999993</v>
      </c>
      <c r="M26" s="2">
        <f>ABS(M18-$C$10)</f>
        <v>2.38</v>
      </c>
      <c r="N26" s="2">
        <f>ABS(N18-$D$10)</f>
        <v>2.21</v>
      </c>
    </row>
    <row r="27" spans="1:14" x14ac:dyDescent="0.25">
      <c r="A27" s="6" t="s">
        <v>30</v>
      </c>
      <c r="B27" s="11" t="str">
        <f>IF((AVERAGE(B25:B26)&gt;1),"LOW",IF((AVERAGE(B25:B26)&lt;0.5), "HIGH","MEDIUM"))</f>
        <v>HIGH</v>
      </c>
      <c r="C27" s="11" t="str">
        <f>IF((AVERAGE(C25:C26)&gt;1),"LOW",IF((AVERAGE(C25:C26)&lt;0.5), "HIGH","MEDIUM"))</f>
        <v>LOW</v>
      </c>
      <c r="D27" s="14" t="str">
        <f>IF((AVERAGE(D25:D26)&gt;1),"LOW",IF((AVERAGE(D25:D26)&lt;0.5), "HIGH","MEDIUM"))</f>
        <v>LOW</v>
      </c>
      <c r="F27" s="6" t="s">
        <v>30</v>
      </c>
      <c r="G27" s="11" t="str">
        <f>IF((AVERAGE(G25:G26)&gt;1),"LOW",IF((AVERAGE(G25:G26)&lt;0.5), "HIGH","MEDIUM"))</f>
        <v>HIGH</v>
      </c>
      <c r="H27" s="11" t="str">
        <f>IF((AVERAGE(H25:H26)&gt;1),"LOW",IF((AVERAGE(H25:H26)&lt;0.5), "HIGH","MEDIUM"))</f>
        <v>LOW</v>
      </c>
      <c r="I27" s="14" t="str">
        <f>IF((AVERAGE(I25:I26)&gt;1),"LOW",IF((AVERAGE(I25:I26)&lt;0.5), "HIGH","MEDIUM"))</f>
        <v>LOW</v>
      </c>
      <c r="K27" s="6" t="s">
        <v>30</v>
      </c>
      <c r="L27" s="11" t="str">
        <f>IF((AVERAGE(L25:L26)&gt;1),"LOW",IF((AVERAGE(L25:L26)&lt;0.5), "HIGH","MEDIUM"))</f>
        <v>HIGH</v>
      </c>
      <c r="M27" s="11" t="str">
        <f>IF((AVERAGE(M25:M26)&gt;1),"LOW",IF((AVERAGE(M25:M26)&lt;0.5), "HIGH","MEDIUM"))</f>
        <v>LOW</v>
      </c>
      <c r="N27" s="14" t="str">
        <f>IF((AVERAGE(N25:N26)&gt;1),"LOW",IF((AVERAGE(N25:N26)&lt;0.5), "HIGH","MEDIUM"))</f>
        <v>LOW</v>
      </c>
    </row>
    <row r="28" spans="1:14" x14ac:dyDescent="0.25">
      <c r="A28" s="6" t="s">
        <v>33</v>
      </c>
      <c r="B28" s="2">
        <v>1.2200000000000001E-2</v>
      </c>
      <c r="C28" s="2">
        <v>1.2200000000000001E-2</v>
      </c>
      <c r="D28" s="2">
        <v>1.2200000000000001E-2</v>
      </c>
      <c r="F28" s="6" t="s">
        <v>33</v>
      </c>
      <c r="G28" s="2">
        <v>9.1999999999999998E-3</v>
      </c>
      <c r="H28" s="2">
        <v>9.1999999999999998E-3</v>
      </c>
      <c r="I28" s="2">
        <v>9.1999999999999998E-3</v>
      </c>
      <c r="K28" s="6" t="s">
        <v>33</v>
      </c>
      <c r="L28" s="2">
        <v>1.3299999999999999E-2</v>
      </c>
      <c r="M28" s="2">
        <v>1.3299999999999999E-2</v>
      </c>
      <c r="N28" s="2">
        <v>1.3299999999999999E-2</v>
      </c>
    </row>
    <row r="29" spans="1:14" x14ac:dyDescent="0.25">
      <c r="A29" s="6" t="s">
        <v>34</v>
      </c>
      <c r="B29" s="2">
        <v>1.4800000000000001E-2</v>
      </c>
      <c r="C29" s="2">
        <v>1.4800000000000001E-2</v>
      </c>
      <c r="D29" s="2">
        <v>1.4800000000000001E-2</v>
      </c>
      <c r="F29" s="6" t="s">
        <v>34</v>
      </c>
      <c r="G29" s="2">
        <v>1.24E-2</v>
      </c>
      <c r="H29" s="2">
        <v>1.24E-2</v>
      </c>
      <c r="I29" s="2">
        <v>1.24E-2</v>
      </c>
      <c r="K29" s="6" t="s">
        <v>34</v>
      </c>
      <c r="L29" s="2">
        <v>1.5800000000000002E-2</v>
      </c>
      <c r="M29" s="2">
        <v>1.5800000000000002E-2</v>
      </c>
      <c r="N29" s="2">
        <v>1.5800000000000002E-2</v>
      </c>
    </row>
    <row r="31" spans="1:14" x14ac:dyDescent="0.25">
      <c r="C31">
        <f>AVERAGE(C28:C29)</f>
        <v>1.3500000000000002E-2</v>
      </c>
      <c r="H31">
        <f>AVERAGE(H28:H29)</f>
        <v>1.0800000000000001E-2</v>
      </c>
      <c r="M31">
        <f>AVERAGE(M28:M29)</f>
        <v>1.455E-2</v>
      </c>
    </row>
  </sheetData>
  <mergeCells count="14">
    <mergeCell ref="G3:I3"/>
    <mergeCell ref="G4:I4"/>
    <mergeCell ref="A12:D12"/>
    <mergeCell ref="F12:I12"/>
    <mergeCell ref="K12:N12"/>
    <mergeCell ref="A1:D1"/>
    <mergeCell ref="A13:D13"/>
    <mergeCell ref="F13:I13"/>
    <mergeCell ref="K13:N13"/>
    <mergeCell ref="A22:D22"/>
    <mergeCell ref="F22:I22"/>
    <mergeCell ref="K22:N22"/>
    <mergeCell ref="G1:I1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5F2E-B503-478E-A90F-F56328348A42}">
  <dimension ref="A1:F29"/>
  <sheetViews>
    <sheetView tabSelected="1" workbookViewId="0">
      <selection activeCell="F7" sqref="F7"/>
    </sheetView>
  </sheetViews>
  <sheetFormatPr defaultRowHeight="15" x14ac:dyDescent="0.25"/>
  <cols>
    <col min="1" max="1" width="19.5703125" bestFit="1" customWidth="1"/>
    <col min="2" max="2" width="10" bestFit="1" customWidth="1"/>
  </cols>
  <sheetData>
    <row r="1" spans="1:6" x14ac:dyDescent="0.25">
      <c r="A1" s="1" t="s">
        <v>10</v>
      </c>
      <c r="B1" s="1"/>
      <c r="C1" s="1"/>
      <c r="D1" s="1"/>
    </row>
    <row r="2" spans="1:6" x14ac:dyDescent="0.25">
      <c r="A2" s="3" t="s">
        <v>8</v>
      </c>
      <c r="B2" s="3" t="s">
        <v>27</v>
      </c>
      <c r="C2" s="3" t="s">
        <v>28</v>
      </c>
      <c r="D2" s="3" t="s">
        <v>29</v>
      </c>
    </row>
    <row r="3" spans="1:6" x14ac:dyDescent="0.25">
      <c r="A3" s="3" t="s">
        <v>0</v>
      </c>
      <c r="B3" s="4">
        <v>46037</v>
      </c>
      <c r="C3" s="4">
        <v>45324</v>
      </c>
      <c r="D3" s="4">
        <v>45505</v>
      </c>
    </row>
    <row r="4" spans="1:6" x14ac:dyDescent="0.25">
      <c r="A4" s="3" t="s">
        <v>9</v>
      </c>
      <c r="B4" s="5">
        <v>0.47916666666666669</v>
      </c>
      <c r="C4" s="5">
        <v>0.65625</v>
      </c>
      <c r="D4" s="5">
        <v>0.625</v>
      </c>
    </row>
    <row r="5" spans="1:6" x14ac:dyDescent="0.25">
      <c r="A5" s="3" t="s">
        <v>1</v>
      </c>
      <c r="B5" s="2">
        <v>5040</v>
      </c>
      <c r="C5" s="2">
        <v>7330</v>
      </c>
      <c r="D5" s="2">
        <v>2700</v>
      </c>
    </row>
    <row r="6" spans="1:6" x14ac:dyDescent="0.25">
      <c r="A6" s="3" t="s">
        <v>2</v>
      </c>
      <c r="B6" s="2">
        <v>7530</v>
      </c>
      <c r="C6" s="2">
        <v>9650</v>
      </c>
      <c r="D6" s="2">
        <v>712</v>
      </c>
      <c r="F6" t="s">
        <v>37</v>
      </c>
    </row>
    <row r="7" spans="1:6" x14ac:dyDescent="0.25">
      <c r="A7" s="3" t="s">
        <v>3</v>
      </c>
      <c r="B7" s="2">
        <v>6240</v>
      </c>
      <c r="C7" s="2">
        <v>10000</v>
      </c>
      <c r="D7" s="2">
        <v>926</v>
      </c>
    </row>
    <row r="8" spans="1:6" x14ac:dyDescent="0.25">
      <c r="A8" s="3" t="s">
        <v>4</v>
      </c>
      <c r="B8" s="2">
        <v>42.33</v>
      </c>
      <c r="C8" s="2">
        <v>43.13</v>
      </c>
      <c r="D8" s="2">
        <v>41.22</v>
      </c>
    </row>
    <row r="9" spans="1:6" x14ac:dyDescent="0.25">
      <c r="A9" s="3" t="s">
        <v>5</v>
      </c>
      <c r="B9" s="2">
        <v>14.4</v>
      </c>
      <c r="C9" s="2">
        <v>15.41</v>
      </c>
      <c r="D9" s="2">
        <v>11.26</v>
      </c>
    </row>
    <row r="10" spans="1:6" x14ac:dyDescent="0.25">
      <c r="A10" s="3" t="s">
        <v>6</v>
      </c>
      <c r="B10" s="2">
        <v>6.96</v>
      </c>
      <c r="C10" s="2">
        <v>8.92</v>
      </c>
      <c r="D10" s="2">
        <v>4.3099999999999996</v>
      </c>
    </row>
    <row r="12" spans="1:6" x14ac:dyDescent="0.25">
      <c r="A12" s="13" t="s">
        <v>36</v>
      </c>
      <c r="B12" s="13"/>
      <c r="C12" s="13"/>
      <c r="D12" s="13"/>
    </row>
    <row r="13" spans="1:6" x14ac:dyDescent="0.25">
      <c r="A13" s="1" t="s">
        <v>11</v>
      </c>
      <c r="B13" s="1"/>
      <c r="C13" s="1"/>
      <c r="D13" s="1"/>
    </row>
    <row r="14" spans="1:6" x14ac:dyDescent="0.25">
      <c r="A14" s="3" t="s">
        <v>8</v>
      </c>
      <c r="B14" s="3">
        <v>1</v>
      </c>
      <c r="C14" s="3">
        <v>2</v>
      </c>
      <c r="D14" s="3">
        <v>3</v>
      </c>
    </row>
    <row r="15" spans="1:6" x14ac:dyDescent="0.25">
      <c r="A15" s="3" t="s">
        <v>5</v>
      </c>
      <c r="B15" s="2">
        <v>14.97</v>
      </c>
      <c r="C15" s="2">
        <v>15.84</v>
      </c>
      <c r="D15" s="2">
        <v>11.6</v>
      </c>
    </row>
    <row r="16" spans="1:6" x14ac:dyDescent="0.25">
      <c r="A16" s="3" t="s">
        <v>6</v>
      </c>
      <c r="B16" s="2">
        <v>7.79</v>
      </c>
      <c r="C16" s="2">
        <v>8.82</v>
      </c>
      <c r="D16" s="2">
        <v>3.53</v>
      </c>
    </row>
    <row r="17" spans="1:4" x14ac:dyDescent="0.25">
      <c r="A17" s="6" t="s">
        <v>14</v>
      </c>
      <c r="B17" s="2" t="s">
        <v>35</v>
      </c>
      <c r="C17" s="2" t="s">
        <v>35</v>
      </c>
      <c r="D17" s="2" t="s">
        <v>16</v>
      </c>
    </row>
    <row r="18" spans="1:4" x14ac:dyDescent="0.25">
      <c r="A18" s="6" t="s">
        <v>15</v>
      </c>
      <c r="B18" s="2" t="s">
        <v>16</v>
      </c>
      <c r="C18" s="2" t="s">
        <v>35</v>
      </c>
      <c r="D18" s="2" t="s">
        <v>16</v>
      </c>
    </row>
    <row r="19" spans="1:4" x14ac:dyDescent="0.25">
      <c r="A19" s="7"/>
      <c r="B19" s="8"/>
      <c r="C19" s="8"/>
      <c r="D19" s="8"/>
    </row>
    <row r="20" spans="1:4" x14ac:dyDescent="0.25">
      <c r="A20" s="9" t="s">
        <v>21</v>
      </c>
      <c r="B20" s="9"/>
      <c r="C20" s="9"/>
      <c r="D20" s="9"/>
    </row>
    <row r="21" spans="1:4" x14ac:dyDescent="0.25">
      <c r="A21" s="3" t="s">
        <v>8</v>
      </c>
      <c r="B21" s="3">
        <v>1</v>
      </c>
      <c r="C21" s="3">
        <v>2</v>
      </c>
      <c r="D21" s="3">
        <v>3</v>
      </c>
    </row>
    <row r="22" spans="1:4" x14ac:dyDescent="0.25">
      <c r="A22" s="6" t="s">
        <v>19</v>
      </c>
      <c r="B22" s="2" t="s">
        <v>20</v>
      </c>
      <c r="C22" s="2" t="s">
        <v>20</v>
      </c>
      <c r="D22" s="2" t="s">
        <v>20</v>
      </c>
    </row>
    <row r="23" spans="1:4" x14ac:dyDescent="0.25">
      <c r="A23" s="3" t="s">
        <v>5</v>
      </c>
      <c r="B23" s="2">
        <f>ABS(B15-$B$9)</f>
        <v>0.57000000000000028</v>
      </c>
      <c r="C23" s="2">
        <f>ABS(C15-$C$9)</f>
        <v>0.42999999999999972</v>
      </c>
      <c r="D23" s="2">
        <f>ABS(D15-$D$9)</f>
        <v>0.33999999999999986</v>
      </c>
    </row>
    <row r="24" spans="1:4" x14ac:dyDescent="0.25">
      <c r="A24" s="3" t="s">
        <v>6</v>
      </c>
      <c r="B24" s="2">
        <f>ABS(B16-$B$10)</f>
        <v>0.83000000000000007</v>
      </c>
      <c r="C24" s="2">
        <f>ABS(C16-$C$10)</f>
        <v>9.9999999999999645E-2</v>
      </c>
      <c r="D24" s="2">
        <f>ABS(D16-$D$10)</f>
        <v>0.7799999999999998</v>
      </c>
    </row>
    <row r="25" spans="1:4" x14ac:dyDescent="0.25">
      <c r="A25" s="6" t="s">
        <v>30</v>
      </c>
      <c r="B25" s="11" t="str">
        <f>IF((AVERAGE(B23:B24)&gt;1),"LOW",IF((AVERAGE(B23:B24)&lt;0.5), "HIGH","MEDIUM"))</f>
        <v>MEDIUM</v>
      </c>
      <c r="C25" s="11" t="str">
        <f>IF((AVERAGE(C23:C24)&gt;1),"LOW",IF((AVERAGE(C23:C24)&lt;0.5), "HIGH","MEDIUM"))</f>
        <v>HIGH</v>
      </c>
      <c r="D25" s="14" t="str">
        <f>IF((AVERAGE(D23:D24)&gt;1),"LOW",IF((AVERAGE(D23:D24)&lt;0.5), "HIGH","MEDIUM"))</f>
        <v>MEDIUM</v>
      </c>
    </row>
    <row r="26" spans="1:4" x14ac:dyDescent="0.25">
      <c r="A26" s="6" t="s">
        <v>33</v>
      </c>
      <c r="B26" s="2">
        <v>0.6</v>
      </c>
      <c r="C26" s="2">
        <v>0.6</v>
      </c>
      <c r="D26" s="2">
        <v>0.6</v>
      </c>
    </row>
    <row r="27" spans="1:4" x14ac:dyDescent="0.25">
      <c r="A27" s="6" t="s">
        <v>34</v>
      </c>
      <c r="B27" s="2">
        <v>0.51</v>
      </c>
      <c r="C27" s="2">
        <v>0.51</v>
      </c>
      <c r="D27" s="2">
        <v>0.51</v>
      </c>
    </row>
    <row r="29" spans="1:4" x14ac:dyDescent="0.25">
      <c r="C29">
        <f>AVERAGE(C26:C27)</f>
        <v>0.55499999999999994</v>
      </c>
    </row>
  </sheetData>
  <mergeCells count="4">
    <mergeCell ref="A1:D1"/>
    <mergeCell ref="A12:D12"/>
    <mergeCell ref="A13:D13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</vt:lpstr>
      <vt:lpstr>LLM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Kennedy, Ashley</dc:creator>
  <cp:lastModifiedBy>Kennedy, Ashley</cp:lastModifiedBy>
  <dcterms:created xsi:type="dcterms:W3CDTF">2015-06-05T18:17:20Z</dcterms:created>
  <dcterms:modified xsi:type="dcterms:W3CDTF">2026-04-23T21:25:16Z</dcterms:modified>
</cp:coreProperties>
</file>